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gram Files\"/>
    </mc:Choice>
  </mc:AlternateContent>
  <xr:revisionPtr revIDLastSave="0" documentId="13_ncr:1_{6952BD71-93BD-4F10-8E9D-E5BF722A8A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1" r:id="rId1"/>
    <sheet name="Обработк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I7" i="2"/>
  <c r="J6" i="2"/>
  <c r="I6" i="2"/>
  <c r="J5" i="2"/>
  <c r="I5" i="2"/>
  <c r="J4" i="2"/>
  <c r="I4" i="2"/>
  <c r="H6" i="2"/>
  <c r="H7" i="2"/>
  <c r="H4" i="2"/>
  <c r="H5" i="2"/>
  <c r="H3" i="2"/>
  <c r="F7" i="2" a="1"/>
  <c r="F7" i="2" s="1"/>
  <c r="G7" i="2"/>
  <c r="E7" i="2"/>
  <c r="F6" i="2" a="1"/>
  <c r="F6" i="2" s="1"/>
  <c r="G6" i="2"/>
  <c r="F5" i="2" a="1"/>
  <c r="F5" i="2" s="1"/>
  <c r="G5" i="2"/>
  <c r="E5" i="2"/>
  <c r="F4" i="2" a="1"/>
  <c r="F4" i="2" s="1"/>
  <c r="G4" i="2"/>
  <c r="G3" i="2"/>
  <c r="E6" i="2"/>
  <c r="D6" i="2" a="1"/>
  <c r="D6" i="2" s="1"/>
  <c r="D7" i="2" a="1"/>
  <c r="D7" i="2" s="1"/>
  <c r="C7" i="2"/>
  <c r="C6" i="2"/>
  <c r="D5" i="2" a="1"/>
  <c r="D5" i="2" s="1"/>
  <c r="J3" i="2"/>
  <c r="I3" i="2"/>
  <c r="F3" i="2" a="1"/>
  <c r="F3" i="2" s="1"/>
  <c r="B3" i="2"/>
  <c r="E4" i="2"/>
  <c r="D4" i="2" a="1"/>
  <c r="D4" i="2" s="1"/>
  <c r="E3" i="2"/>
  <c r="D3" i="2" a="1"/>
  <c r="D3" i="2" s="1"/>
  <c r="B7" i="2"/>
  <c r="B6" i="2"/>
  <c r="C5" i="2"/>
  <c r="B5" i="2"/>
  <c r="A7" i="2"/>
  <c r="N7" i="2" s="1"/>
  <c r="A6" i="2"/>
  <c r="N6" i="2" s="1"/>
  <c r="A5" i="2"/>
  <c r="N5" i="2" s="1"/>
  <c r="A4" i="2"/>
  <c r="Q2" i="2" s="1"/>
  <c r="A3" i="2"/>
  <c r="M3" i="2" s="1"/>
  <c r="P4" i="2"/>
  <c r="Q4" i="2"/>
  <c r="R4" i="2"/>
  <c r="S4" i="2"/>
  <c r="T4" i="2"/>
  <c r="P5" i="2"/>
  <c r="Q5" i="2"/>
  <c r="R5" i="2"/>
  <c r="S5" i="2"/>
  <c r="T5" i="2"/>
  <c r="P6" i="2"/>
  <c r="Q6" i="2"/>
  <c r="R6" i="2"/>
  <c r="S6" i="2"/>
  <c r="T6" i="2"/>
  <c r="P7" i="2"/>
  <c r="Q7" i="2"/>
  <c r="R7" i="2"/>
  <c r="S7" i="2"/>
  <c r="T7" i="2"/>
  <c r="P8" i="2"/>
  <c r="Q8" i="2"/>
  <c r="R8" i="2"/>
  <c r="S8" i="2"/>
  <c r="T8" i="2"/>
  <c r="P9" i="2"/>
  <c r="Q9" i="2"/>
  <c r="R9" i="2"/>
  <c r="S9" i="2"/>
  <c r="T9" i="2"/>
  <c r="P10" i="2"/>
  <c r="Q10" i="2"/>
  <c r="R10" i="2"/>
  <c r="S10" i="2"/>
  <c r="T10" i="2"/>
  <c r="P11" i="2"/>
  <c r="Q11" i="2"/>
  <c r="R11" i="2"/>
  <c r="S11" i="2"/>
  <c r="T11" i="2"/>
  <c r="P12" i="2"/>
  <c r="Q12" i="2"/>
  <c r="R12" i="2"/>
  <c r="S12" i="2"/>
  <c r="T12" i="2"/>
  <c r="P13" i="2"/>
  <c r="Q13" i="2"/>
  <c r="R13" i="2"/>
  <c r="S13" i="2"/>
  <c r="T13" i="2"/>
  <c r="P14" i="2"/>
  <c r="Q14" i="2"/>
  <c r="R14" i="2"/>
  <c r="S14" i="2"/>
  <c r="T14" i="2"/>
  <c r="P15" i="2"/>
  <c r="Q15" i="2"/>
  <c r="R15" i="2"/>
  <c r="S15" i="2"/>
  <c r="T15" i="2"/>
  <c r="P16" i="2"/>
  <c r="Q16" i="2"/>
  <c r="R16" i="2"/>
  <c r="S16" i="2"/>
  <c r="T16" i="2"/>
  <c r="P17" i="2"/>
  <c r="Q17" i="2"/>
  <c r="R17" i="2"/>
  <c r="S17" i="2"/>
  <c r="T17" i="2"/>
  <c r="P18" i="2"/>
  <c r="Q18" i="2"/>
  <c r="R18" i="2"/>
  <c r="S18" i="2"/>
  <c r="T18" i="2"/>
  <c r="P19" i="2"/>
  <c r="Q19" i="2"/>
  <c r="R19" i="2"/>
  <c r="S19" i="2"/>
  <c r="T19" i="2"/>
  <c r="P20" i="2"/>
  <c r="Q20" i="2"/>
  <c r="R20" i="2"/>
  <c r="S20" i="2"/>
  <c r="T20" i="2"/>
  <c r="P21" i="2"/>
  <c r="Q21" i="2"/>
  <c r="R21" i="2"/>
  <c r="S21" i="2"/>
  <c r="T21" i="2"/>
  <c r="P22" i="2"/>
  <c r="Q22" i="2"/>
  <c r="R22" i="2"/>
  <c r="S22" i="2"/>
  <c r="T22" i="2"/>
  <c r="P23" i="2"/>
  <c r="Q23" i="2"/>
  <c r="R23" i="2"/>
  <c r="S23" i="2"/>
  <c r="T23" i="2"/>
  <c r="P24" i="2"/>
  <c r="Q24" i="2"/>
  <c r="R24" i="2"/>
  <c r="S24" i="2"/>
  <c r="T24" i="2"/>
  <c r="P25" i="2"/>
  <c r="Q25" i="2"/>
  <c r="R25" i="2"/>
  <c r="S25" i="2"/>
  <c r="T25" i="2"/>
  <c r="P26" i="2"/>
  <c r="Q26" i="2"/>
  <c r="R26" i="2"/>
  <c r="S26" i="2"/>
  <c r="T26" i="2"/>
  <c r="P27" i="2"/>
  <c r="Q27" i="2"/>
  <c r="R27" i="2"/>
  <c r="S27" i="2"/>
  <c r="T27" i="2"/>
  <c r="P28" i="2"/>
  <c r="Q28" i="2"/>
  <c r="R28" i="2"/>
  <c r="S28" i="2"/>
  <c r="T28" i="2"/>
  <c r="P29" i="2"/>
  <c r="Q29" i="2"/>
  <c r="R29" i="2"/>
  <c r="S29" i="2"/>
  <c r="T29" i="2"/>
  <c r="P30" i="2"/>
  <c r="Q30" i="2"/>
  <c r="R30" i="2"/>
  <c r="S30" i="2"/>
  <c r="T30" i="2"/>
  <c r="P31" i="2"/>
  <c r="Q31" i="2"/>
  <c r="R31" i="2"/>
  <c r="S31" i="2"/>
  <c r="T31" i="2"/>
  <c r="P32" i="2"/>
  <c r="Q32" i="2"/>
  <c r="R32" i="2"/>
  <c r="S32" i="2"/>
  <c r="T32" i="2"/>
  <c r="P33" i="2"/>
  <c r="Q33" i="2"/>
  <c r="R33" i="2"/>
  <c r="S33" i="2"/>
  <c r="T33" i="2"/>
  <c r="P34" i="2"/>
  <c r="Q34" i="2"/>
  <c r="R34" i="2"/>
  <c r="S34" i="2"/>
  <c r="T34" i="2"/>
  <c r="P35" i="2"/>
  <c r="Q35" i="2"/>
  <c r="R35" i="2"/>
  <c r="S35" i="2"/>
  <c r="T35" i="2"/>
  <c r="P36" i="2"/>
  <c r="Q36" i="2"/>
  <c r="R36" i="2"/>
  <c r="S36" i="2"/>
  <c r="T36" i="2"/>
  <c r="P37" i="2"/>
  <c r="Q37" i="2"/>
  <c r="R37" i="2"/>
  <c r="S37" i="2"/>
  <c r="T37" i="2"/>
  <c r="P38" i="2"/>
  <c r="Q38" i="2"/>
  <c r="R38" i="2"/>
  <c r="S38" i="2"/>
  <c r="T38" i="2"/>
  <c r="P39" i="2"/>
  <c r="Q39" i="2"/>
  <c r="R39" i="2"/>
  <c r="S39" i="2"/>
  <c r="T39" i="2"/>
  <c r="P40" i="2"/>
  <c r="Q40" i="2"/>
  <c r="R40" i="2"/>
  <c r="S40" i="2"/>
  <c r="T40" i="2"/>
  <c r="P41" i="2"/>
  <c r="Q41" i="2"/>
  <c r="R41" i="2"/>
  <c r="S41" i="2"/>
  <c r="T41" i="2"/>
  <c r="P42" i="2"/>
  <c r="Q42" i="2"/>
  <c r="R42" i="2"/>
  <c r="S42" i="2"/>
  <c r="T42" i="2"/>
  <c r="P43" i="2"/>
  <c r="Q43" i="2"/>
  <c r="R43" i="2"/>
  <c r="S43" i="2"/>
  <c r="T43" i="2"/>
  <c r="P44" i="2"/>
  <c r="Q44" i="2"/>
  <c r="R44" i="2"/>
  <c r="S44" i="2"/>
  <c r="T44" i="2"/>
  <c r="P45" i="2"/>
  <c r="Q45" i="2"/>
  <c r="R45" i="2"/>
  <c r="S45" i="2"/>
  <c r="T45" i="2"/>
  <c r="P46" i="2"/>
  <c r="Q46" i="2"/>
  <c r="R46" i="2"/>
  <c r="S46" i="2"/>
  <c r="T46" i="2"/>
  <c r="P47" i="2"/>
  <c r="Q47" i="2"/>
  <c r="R47" i="2"/>
  <c r="S47" i="2"/>
  <c r="T47" i="2"/>
  <c r="P48" i="2"/>
  <c r="Q48" i="2"/>
  <c r="R48" i="2"/>
  <c r="S48" i="2"/>
  <c r="T48" i="2"/>
  <c r="P49" i="2"/>
  <c r="Q49" i="2"/>
  <c r="R49" i="2"/>
  <c r="S49" i="2"/>
  <c r="T49" i="2"/>
  <c r="P50" i="2"/>
  <c r="Q50" i="2"/>
  <c r="R50" i="2"/>
  <c r="S50" i="2"/>
  <c r="T50" i="2"/>
  <c r="P51" i="2"/>
  <c r="Q51" i="2"/>
  <c r="R51" i="2"/>
  <c r="S51" i="2"/>
  <c r="T51" i="2"/>
  <c r="P52" i="2"/>
  <c r="Q52" i="2"/>
  <c r="R52" i="2"/>
  <c r="S52" i="2"/>
  <c r="T52" i="2"/>
  <c r="P53" i="2"/>
  <c r="Q53" i="2"/>
  <c r="R53" i="2"/>
  <c r="S53" i="2"/>
  <c r="T53" i="2"/>
  <c r="P54" i="2"/>
  <c r="Q54" i="2"/>
  <c r="R54" i="2"/>
  <c r="S54" i="2"/>
  <c r="T54" i="2"/>
  <c r="P55" i="2"/>
  <c r="Q55" i="2"/>
  <c r="R55" i="2"/>
  <c r="S55" i="2"/>
  <c r="T55" i="2"/>
  <c r="P56" i="2"/>
  <c r="Q56" i="2"/>
  <c r="R56" i="2"/>
  <c r="S56" i="2"/>
  <c r="T56" i="2"/>
  <c r="P57" i="2"/>
  <c r="Q57" i="2"/>
  <c r="R57" i="2"/>
  <c r="S57" i="2"/>
  <c r="T57" i="2"/>
  <c r="P58" i="2"/>
  <c r="Q58" i="2"/>
  <c r="R58" i="2"/>
  <c r="S58" i="2"/>
  <c r="T58" i="2"/>
  <c r="P59" i="2"/>
  <c r="Q59" i="2"/>
  <c r="R59" i="2"/>
  <c r="S59" i="2"/>
  <c r="T59" i="2"/>
  <c r="P60" i="2"/>
  <c r="Q60" i="2"/>
  <c r="R60" i="2"/>
  <c r="S60" i="2"/>
  <c r="T60" i="2"/>
  <c r="P61" i="2"/>
  <c r="Q61" i="2"/>
  <c r="R61" i="2"/>
  <c r="S61" i="2"/>
  <c r="T61" i="2"/>
  <c r="P62" i="2"/>
  <c r="Q62" i="2"/>
  <c r="R62" i="2"/>
  <c r="S62" i="2"/>
  <c r="T62" i="2"/>
  <c r="T3" i="2"/>
  <c r="R3" i="2"/>
  <c r="Q3" i="2"/>
  <c r="P3" i="2"/>
  <c r="S3" i="2"/>
  <c r="C4" i="2"/>
  <c r="B4" i="2"/>
  <c r="C3" i="2"/>
  <c r="R2" i="2"/>
  <c r="P2" i="2" l="1"/>
  <c r="T2" i="2"/>
  <c r="K6" i="2"/>
  <c r="S2" i="2"/>
  <c r="M5" i="2"/>
  <c r="M4" i="2"/>
  <c r="N4" i="2"/>
  <c r="M7" i="2"/>
  <c r="N3" i="2"/>
  <c r="M6" i="2"/>
  <c r="K5" i="2"/>
  <c r="K7" i="2"/>
  <c r="K4" i="2"/>
  <c r="K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<sst xmlns="http://schemas.openxmlformats.org/spreadsheetml/2006/main" count="47" uniqueCount="21">
  <si>
    <t>Δr</t>
  </si>
  <si>
    <t>Δh, абс.</t>
  </si>
  <si>
    <t>Δh, SBAS</t>
  </si>
  <si>
    <t>N</t>
  </si>
  <si>
    <t>HDOP</t>
  </si>
  <si>
    <t>VDOP</t>
  </si>
  <si>
    <t>Абс</t>
  </si>
  <si>
    <t>SBAS</t>
  </si>
  <si>
    <t>DOP для удобства копирования</t>
  </si>
  <si>
    <t>Точка</t>
  </si>
  <si>
    <t>Δrmax</t>
  </si>
  <si>
    <t>σΔr</t>
  </si>
  <si>
    <t>hmax</t>
  </si>
  <si>
    <t>σh</t>
  </si>
  <si>
    <t>Nср</t>
  </si>
  <si>
    <t>HDOPср</t>
  </si>
  <si>
    <t>VDOPср</t>
  </si>
  <si>
    <t>PDOPср</t>
  </si>
  <si>
    <t xml:space="preserve"> абс. Δh</t>
  </si>
  <si>
    <t xml:space="preserve"> SBAS Δh</t>
  </si>
  <si>
    <t>Заголовки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</si>
</sst>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Обработка!$M$3</c:f>
          <c:strCache>
            <c:ptCount val="1"/>
            <c:pt idx="0">
              <c:v>0 абс.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Данные!$C$4:$C$63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4-4475-9E07-328A364B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Обработка!$M$4</c:f>
          <c:strCache>
            <c:ptCount val="1"/>
            <c:pt idx="0">
              <c:v>0 абс.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Данные!$I$4:$I$63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6-4A7F-95B9-AACB1ED6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Обработка!$M$5</c:f>
          <c:strCache>
            <c:ptCount val="1"/>
            <c:pt idx="0">
              <c:v>0 абс.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Данные!$O$4:$O$63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8-4AF0-834A-3AEB744F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Обработка!$M$6</c:f>
          <c:strCache>
            <c:ptCount val="1"/>
            <c:pt idx="0">
              <c:v>0 абс.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Данные!$U$4:$U$63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1-49D9-8A5B-672370D0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Обработка!$M$7</c:f>
          <c:strCache>
            <c:ptCount val="1"/>
            <c:pt idx="0">
              <c:v>0 абс.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Данные!$AA$4:$AA$63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A3C-AC4E-B75323F41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Обработка!$N$3</c:f>
          <c:strCache>
            <c:ptCount val="1"/>
            <c:pt idx="0">
              <c:v>0 SBAS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Данные!$D$4:$D$63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3-4A30-B4E6-974F8E64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Обработка!$N$4</c:f>
          <c:strCache>
            <c:ptCount val="1"/>
            <c:pt idx="0">
              <c:v>0 SBAS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Данные!$J$4:$J$63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4-47B9-891E-81A4E761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Обработка!$N$5</c:f>
          <c:strCache>
            <c:ptCount val="1"/>
            <c:pt idx="0">
              <c:v>0 SBAS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Данные!$P$4:$P$63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C-4C3A-868C-A58D9485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Обработка!$N$6</c:f>
          <c:strCache>
            <c:ptCount val="1"/>
            <c:pt idx="0">
              <c:v>0 SBAS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Данные!$V$4:$V$63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1-4704-AC7C-DA1D2B8B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Обработка!$N$7</c:f>
          <c:strCache>
            <c:ptCount val="1"/>
            <c:pt idx="0">
              <c:v>0 SBAS Δh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Данные!$D$4:$D$63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3-4324-A914-6CACCD4DA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08719"/>
        <c:axId val="1309815919"/>
      </c:lineChart>
      <c:catAx>
        <c:axId val="1309808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9815919"/>
        <c:crosses val="autoZero"/>
        <c:auto val="1"/>
        <c:lblAlgn val="ctr"/>
        <c:lblOffset val="100"/>
        <c:noMultiLvlLbl val="0"/>
      </c:catAx>
      <c:valAx>
        <c:axId val="13098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1</xdr:rowOff>
    </xdr:from>
    <xdr:to>
      <xdr:col>10</xdr:col>
      <xdr:colOff>481514</xdr:colOff>
      <xdr:row>18</xdr:row>
      <xdr:rowOff>155166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C5DEAA9A-CC20-4855-A8B4-9695BE114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19</xdr:row>
      <xdr:rowOff>1</xdr:rowOff>
    </xdr:from>
    <xdr:to>
      <xdr:col>10</xdr:col>
      <xdr:colOff>481514</xdr:colOff>
      <xdr:row>30</xdr:row>
      <xdr:rowOff>155166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AE76C401-1FF3-46D6-A6EA-9841AFBD8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31</xdr:row>
      <xdr:rowOff>1</xdr:rowOff>
    </xdr:from>
    <xdr:to>
      <xdr:col>10</xdr:col>
      <xdr:colOff>481514</xdr:colOff>
      <xdr:row>42</xdr:row>
      <xdr:rowOff>155167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BABF5AFE-BC8F-4EAF-92FD-DDDF2EAB4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43</xdr:row>
      <xdr:rowOff>1</xdr:rowOff>
    </xdr:from>
    <xdr:to>
      <xdr:col>10</xdr:col>
      <xdr:colOff>481514</xdr:colOff>
      <xdr:row>54</xdr:row>
      <xdr:rowOff>155166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9A8FFBBA-E658-403D-A1B2-E48DBFDE5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</xdr:colOff>
      <xdr:row>55</xdr:row>
      <xdr:rowOff>1</xdr:rowOff>
    </xdr:from>
    <xdr:to>
      <xdr:col>10</xdr:col>
      <xdr:colOff>481514</xdr:colOff>
      <xdr:row>66</xdr:row>
      <xdr:rowOff>155166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3D859D27-DBD5-45B6-9373-83C3ECFB3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14</xdr:col>
      <xdr:colOff>468260</xdr:colOff>
      <xdr:row>18</xdr:row>
      <xdr:rowOff>155165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DD27B8-B479-49D2-ADC2-E391E5E28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14</xdr:col>
      <xdr:colOff>468260</xdr:colOff>
      <xdr:row>30</xdr:row>
      <xdr:rowOff>155165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7A09CF-5E3B-446C-A3CC-B87714E59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14</xdr:col>
      <xdr:colOff>468260</xdr:colOff>
      <xdr:row>42</xdr:row>
      <xdr:rowOff>155166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5F4D46D-D010-49A8-9485-3879DCB1C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43</xdr:row>
      <xdr:rowOff>0</xdr:rowOff>
    </xdr:from>
    <xdr:to>
      <xdr:col>14</xdr:col>
      <xdr:colOff>468260</xdr:colOff>
      <xdr:row>54</xdr:row>
      <xdr:rowOff>155165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63148F7-455D-4BC0-BC5B-8925971D4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55</xdr:row>
      <xdr:rowOff>0</xdr:rowOff>
    </xdr:from>
    <xdr:to>
      <xdr:col>14</xdr:col>
      <xdr:colOff>468260</xdr:colOff>
      <xdr:row>66</xdr:row>
      <xdr:rowOff>155165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AA439A2-F0F6-4839-85AA-E80EF954B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"/>
  <sheetViews>
    <sheetView tabSelected="1" topLeftCell="I1" workbookViewId="0">
      <selection activeCell="Z1" sqref="Z1:AE1"/>
    </sheetView>
  </sheetViews>
  <sheetFormatPr defaultRowHeight="14.4" x14ac:dyDescent="0.3"/>
  <sheetData>
    <row r="1" spans="1:31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0</v>
      </c>
      <c r="U2" t="s">
        <v>1</v>
      </c>
      <c r="V2" t="s">
        <v>2</v>
      </c>
      <c r="W2" t="s">
        <v>3</v>
      </c>
      <c r="X2" t="s">
        <v>4</v>
      </c>
      <c r="Y2" t="s">
        <v>5</v>
      </c>
      <c r="Z2" t="s">
        <v>0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</row>
    <row r="4" spans="1:31" x14ac:dyDescent="0.3">
      <c r="A4">
        <v>0</v>
      </c>
    </row>
    <row r="5" spans="1:31" x14ac:dyDescent="0.3">
      <c r="A5">
        <v>1</v>
      </c>
    </row>
    <row r="6" spans="1:31" x14ac:dyDescent="0.3">
      <c r="A6">
        <v>2</v>
      </c>
    </row>
    <row r="7" spans="1:31" x14ac:dyDescent="0.3">
      <c r="A7">
        <v>3</v>
      </c>
    </row>
    <row r="8" spans="1:31" x14ac:dyDescent="0.3">
      <c r="A8">
        <v>4</v>
      </c>
    </row>
    <row r="9" spans="1:31" x14ac:dyDescent="0.3">
      <c r="A9">
        <v>5</v>
      </c>
    </row>
    <row r="10" spans="1:31" x14ac:dyDescent="0.3">
      <c r="A10">
        <v>6</v>
      </c>
    </row>
    <row r="11" spans="1:31" x14ac:dyDescent="0.3">
      <c r="A11">
        <v>7</v>
      </c>
    </row>
    <row r="12" spans="1:31" x14ac:dyDescent="0.3">
      <c r="A12">
        <v>8</v>
      </c>
    </row>
    <row r="13" spans="1:31" x14ac:dyDescent="0.3">
      <c r="A13">
        <v>9</v>
      </c>
    </row>
    <row r="14" spans="1:31" x14ac:dyDescent="0.3">
      <c r="A14">
        <v>10</v>
      </c>
    </row>
    <row r="15" spans="1:31" x14ac:dyDescent="0.3">
      <c r="A15">
        <v>11</v>
      </c>
    </row>
    <row r="16" spans="1:31" x14ac:dyDescent="0.3">
      <c r="A16">
        <v>12</v>
      </c>
    </row>
    <row r="17" spans="1:1" x14ac:dyDescent="0.3">
      <c r="A17">
        <v>13</v>
      </c>
    </row>
    <row r="18" spans="1:1" x14ac:dyDescent="0.3">
      <c r="A18">
        <v>14</v>
      </c>
    </row>
    <row r="19" spans="1:1" x14ac:dyDescent="0.3">
      <c r="A19">
        <v>15</v>
      </c>
    </row>
    <row r="20" spans="1:1" x14ac:dyDescent="0.3">
      <c r="A20">
        <v>16</v>
      </c>
    </row>
    <row r="21" spans="1:1" x14ac:dyDescent="0.3">
      <c r="A21">
        <v>17</v>
      </c>
    </row>
    <row r="22" spans="1:1" x14ac:dyDescent="0.3">
      <c r="A22">
        <v>18</v>
      </c>
    </row>
    <row r="23" spans="1:1" x14ac:dyDescent="0.3">
      <c r="A23">
        <v>19</v>
      </c>
    </row>
    <row r="24" spans="1:1" x14ac:dyDescent="0.3">
      <c r="A24">
        <v>20</v>
      </c>
    </row>
    <row r="25" spans="1:1" x14ac:dyDescent="0.3">
      <c r="A25">
        <v>21</v>
      </c>
    </row>
    <row r="26" spans="1:1" x14ac:dyDescent="0.3">
      <c r="A26">
        <v>22</v>
      </c>
    </row>
    <row r="27" spans="1:1" x14ac:dyDescent="0.3">
      <c r="A27">
        <v>23</v>
      </c>
    </row>
    <row r="28" spans="1:1" x14ac:dyDescent="0.3">
      <c r="A28">
        <v>24</v>
      </c>
    </row>
    <row r="29" spans="1:1" x14ac:dyDescent="0.3">
      <c r="A29">
        <v>25</v>
      </c>
    </row>
    <row r="30" spans="1:1" x14ac:dyDescent="0.3">
      <c r="A30">
        <v>26</v>
      </c>
    </row>
    <row r="31" spans="1:1" x14ac:dyDescent="0.3">
      <c r="A31">
        <v>27</v>
      </c>
    </row>
    <row r="32" spans="1:1" x14ac:dyDescent="0.3">
      <c r="A32">
        <v>28</v>
      </c>
    </row>
    <row r="33" spans="1:1" x14ac:dyDescent="0.3">
      <c r="A33">
        <v>29</v>
      </c>
    </row>
    <row r="34" spans="1:1" x14ac:dyDescent="0.3">
      <c r="A34">
        <v>30</v>
      </c>
    </row>
    <row r="35" spans="1:1" x14ac:dyDescent="0.3">
      <c r="A35">
        <v>31</v>
      </c>
    </row>
    <row r="36" spans="1:1" x14ac:dyDescent="0.3">
      <c r="A36">
        <v>32</v>
      </c>
    </row>
    <row r="37" spans="1:1" x14ac:dyDescent="0.3">
      <c r="A37">
        <v>33</v>
      </c>
    </row>
    <row r="38" spans="1:1" x14ac:dyDescent="0.3">
      <c r="A38">
        <v>34</v>
      </c>
    </row>
    <row r="39" spans="1:1" x14ac:dyDescent="0.3">
      <c r="A39">
        <v>35</v>
      </c>
    </row>
    <row r="40" spans="1:1" x14ac:dyDescent="0.3">
      <c r="A40">
        <v>36</v>
      </c>
    </row>
    <row r="41" spans="1:1" x14ac:dyDescent="0.3">
      <c r="A41">
        <v>37</v>
      </c>
    </row>
    <row r="42" spans="1:1" x14ac:dyDescent="0.3">
      <c r="A42">
        <v>38</v>
      </c>
    </row>
    <row r="43" spans="1:1" x14ac:dyDescent="0.3">
      <c r="A43">
        <v>39</v>
      </c>
    </row>
    <row r="44" spans="1:1" x14ac:dyDescent="0.3">
      <c r="A44">
        <v>40</v>
      </c>
    </row>
    <row r="45" spans="1:1" x14ac:dyDescent="0.3">
      <c r="A45">
        <v>41</v>
      </c>
    </row>
    <row r="46" spans="1:1" x14ac:dyDescent="0.3">
      <c r="A46">
        <v>42</v>
      </c>
    </row>
    <row r="47" spans="1:1" x14ac:dyDescent="0.3">
      <c r="A47">
        <v>43</v>
      </c>
    </row>
    <row r="48" spans="1:1" x14ac:dyDescent="0.3">
      <c r="A48">
        <v>44</v>
      </c>
    </row>
    <row r="49" spans="1:1" x14ac:dyDescent="0.3">
      <c r="A49">
        <v>45</v>
      </c>
    </row>
    <row r="50" spans="1:1" x14ac:dyDescent="0.3">
      <c r="A50">
        <v>46</v>
      </c>
    </row>
    <row r="51" spans="1:1" x14ac:dyDescent="0.3">
      <c r="A51">
        <v>47</v>
      </c>
    </row>
    <row r="52" spans="1:1" x14ac:dyDescent="0.3">
      <c r="A52">
        <v>48</v>
      </c>
    </row>
    <row r="53" spans="1:1" x14ac:dyDescent="0.3">
      <c r="A53">
        <v>49</v>
      </c>
    </row>
    <row r="54" spans="1:1" x14ac:dyDescent="0.3">
      <c r="A54">
        <v>50</v>
      </c>
    </row>
    <row r="55" spans="1:1" x14ac:dyDescent="0.3">
      <c r="A55">
        <v>51</v>
      </c>
    </row>
    <row r="56" spans="1:1" x14ac:dyDescent="0.3">
      <c r="A56">
        <v>52</v>
      </c>
    </row>
    <row r="57" spans="1:1" x14ac:dyDescent="0.3">
      <c r="A57">
        <v>53</v>
      </c>
    </row>
    <row r="58" spans="1:1" x14ac:dyDescent="0.3">
      <c r="A58">
        <v>54</v>
      </c>
    </row>
    <row r="59" spans="1:1" x14ac:dyDescent="0.3">
      <c r="A59">
        <v>55</v>
      </c>
    </row>
    <row r="60" spans="1:1" x14ac:dyDescent="0.3">
      <c r="A60">
        <v>56</v>
      </c>
    </row>
    <row r="61" spans="1:1" x14ac:dyDescent="0.3">
      <c r="A61">
        <v>57</v>
      </c>
    </row>
    <row r="62" spans="1:1" x14ac:dyDescent="0.3">
      <c r="A62">
        <v>58</v>
      </c>
    </row>
    <row r="63" spans="1:1" x14ac:dyDescent="0.3">
      <c r="A63">
        <v>59</v>
      </c>
    </row>
  </sheetData>
  <mergeCells count="5">
    <mergeCell ref="Z1:AE1"/>
    <mergeCell ref="H1:M1"/>
    <mergeCell ref="T1:Y1"/>
    <mergeCell ref="B1:G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2"/>
  <sheetViews>
    <sheetView zoomScale="115" zoomScaleNormal="115" workbookViewId="0">
      <selection activeCell="R8" sqref="R8"/>
    </sheetView>
  </sheetViews>
  <sheetFormatPr defaultRowHeight="14.4" x14ac:dyDescent="0.3"/>
  <cols>
    <col min="1" max="1" width="16.33203125" bestFit="1" customWidth="1"/>
    <col min="2" max="2" width="6.21875" bestFit="1" customWidth="1"/>
    <col min="3" max="7" width="5.6640625" bestFit="1" customWidth="1"/>
    <col min="8" max="8" width="4.21875" bestFit="1" customWidth="1"/>
    <col min="9" max="9" width="7.77734375" bestFit="1" customWidth="1"/>
    <col min="10" max="10" width="7.6640625" bestFit="1" customWidth="1"/>
    <col min="11" max="11" width="7.5546875" bestFit="1" customWidth="1"/>
    <col min="13" max="13" width="22.5546875" bestFit="1" customWidth="1"/>
    <col min="14" max="14" width="23.21875" bestFit="1" customWidth="1"/>
    <col min="16" max="17" width="8.6640625" bestFit="1" customWidth="1"/>
    <col min="18" max="18" width="12.33203125" bestFit="1" customWidth="1"/>
    <col min="19" max="19" width="8.6640625" bestFit="1" customWidth="1"/>
    <col min="20" max="20" width="15.77734375" bestFit="1" customWidth="1"/>
  </cols>
  <sheetData>
    <row r="1" spans="1:20" x14ac:dyDescent="0.3">
      <c r="D1" s="1" t="s">
        <v>6</v>
      </c>
      <c r="E1" s="1"/>
      <c r="F1" s="1" t="s">
        <v>7</v>
      </c>
      <c r="G1" s="1"/>
      <c r="M1" s="1" t="s">
        <v>20</v>
      </c>
      <c r="N1" s="1"/>
      <c r="P1" s="1" t="s">
        <v>8</v>
      </c>
      <c r="Q1" s="1"/>
      <c r="R1" s="1"/>
      <c r="S1" s="1"/>
      <c r="T1" s="1"/>
    </row>
    <row r="2" spans="1:20" ht="15.6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8" t="s">
        <v>17</v>
      </c>
      <c r="M2" s="1" t="s">
        <v>18</v>
      </c>
      <c r="N2" s="1" t="s">
        <v>19</v>
      </c>
      <c r="P2">
        <f>A3</f>
        <v>0</v>
      </c>
      <c r="Q2">
        <f>A4</f>
        <v>0</v>
      </c>
      <c r="R2">
        <f>A5</f>
        <v>0</v>
      </c>
      <c r="S2">
        <f>A6</f>
        <v>0</v>
      </c>
      <c r="T2">
        <f>A7</f>
        <v>0</v>
      </c>
    </row>
    <row r="3" spans="1:20" x14ac:dyDescent="0.3">
      <c r="A3">
        <f>Данные!B1</f>
        <v>0</v>
      </c>
      <c r="B3">
        <f>MAX(Данные!B4:B63)</f>
        <v>0</v>
      </c>
      <c r="C3" s="5" t="e">
        <f>STDEVP(Данные!B4:B63)</f>
        <v>#DIV/0!</v>
      </c>
      <c r="D3" cm="1">
        <f t="array" ref="D3">INDEX(Данные!C4:C63, MATCH(MAX(ABS(Данные!C4:C63)), ABS(Данные!C4:C63), 0))</f>
        <v>0</v>
      </c>
      <c r="E3" s="5" t="e">
        <f>STDEVP(Данные!C4:C63)</f>
        <v>#DIV/0!</v>
      </c>
      <c r="F3" cm="1">
        <f t="array" ref="F3">INDEX(Данные!D4:D63, MATCH(MAX(ABS(Данные!D4:D63)), ABS(Данные!D4:D63), 0))</f>
        <v>0</v>
      </c>
      <c r="G3" s="5" t="e">
        <f>STDEVP(Данные!D4:D63)</f>
        <v>#DIV/0!</v>
      </c>
      <c r="H3" s="4" t="e">
        <f>AVERAGE(Данные!E4:E63)</f>
        <v>#DIV/0!</v>
      </c>
      <c r="I3" s="3" t="e">
        <f>AVERAGE(Данные!F4:F63)</f>
        <v>#DIV/0!</v>
      </c>
      <c r="J3" s="3" t="e">
        <f>AVERAGE(Данные!G4:G63)</f>
        <v>#DIV/0!</v>
      </c>
      <c r="K3" s="3" t="e">
        <f>SQRT(I3^2+J3^2)</f>
        <v>#DIV/0!</v>
      </c>
      <c r="M3" s="9" t="str">
        <f>$A3 &amp; M$2</f>
        <v>0 абс. Δh</v>
      </c>
      <c r="N3" t="str">
        <f t="shared" ref="N3:N7" si="0">$A3 &amp; N$2</f>
        <v>0 SBAS Δh</v>
      </c>
      <c r="P3" s="6" t="str">
        <f>Данные!F4 &amp;"/"&amp; Данные!G4</f>
        <v>/</v>
      </c>
      <c r="Q3" s="7" t="str">
        <f>Данные!L4 &amp;"/"&amp; Данные!M4</f>
        <v>/</v>
      </c>
      <c r="R3" s="7" t="str">
        <f>Данные!R4 &amp;"/"&amp; Данные!S4</f>
        <v>/</v>
      </c>
      <c r="S3" s="7" t="str">
        <f>Данные!X4 &amp;"/"&amp; Данные!Y4</f>
        <v>/</v>
      </c>
      <c r="T3" s="7" t="str">
        <f>Данные!AD4 &amp;"/"&amp; Данные!AE4</f>
        <v>/</v>
      </c>
    </row>
    <row r="4" spans="1:20" x14ac:dyDescent="0.3">
      <c r="A4">
        <f>Данные!H1</f>
        <v>0</v>
      </c>
      <c r="B4">
        <f>MAX(Данные!H4:H63)</f>
        <v>0</v>
      </c>
      <c r="C4" s="5" t="e">
        <f>STDEVP(Данные!H4:H63)</f>
        <v>#DIV/0!</v>
      </c>
      <c r="D4" cm="1">
        <f t="array" ref="D4">INDEX(Данные!I4:I63, MATCH(MAX(ABS(Данные!I4:I63)), ABS(Данные!I4:I63), 0))</f>
        <v>0</v>
      </c>
      <c r="E4" s="5" t="e">
        <f>STDEVP(Данные!I4:I63)</f>
        <v>#DIV/0!</v>
      </c>
      <c r="F4" cm="1">
        <f t="array" ref="F4">INDEX(Данные!J4:J63, MATCH(MAX(ABS(Данные!J4:J63)), ABS(Данные!J4:J63), 0))</f>
        <v>0</v>
      </c>
      <c r="G4" s="5" t="e">
        <f>STDEVP(Данные!J4:J63)</f>
        <v>#DIV/0!</v>
      </c>
      <c r="H4" s="4" t="e">
        <f>AVERAGE(Данные!K4:K63)</f>
        <v>#DIV/0!</v>
      </c>
      <c r="I4" s="3" t="e">
        <f>AVERAGE(Данные!L4:L63)</f>
        <v>#DIV/0!</v>
      </c>
      <c r="J4" s="3" t="e">
        <f>AVERAGE(Данные!M4:M63)</f>
        <v>#DIV/0!</v>
      </c>
      <c r="K4" s="3" t="e">
        <f>SQRT(I4^2+J4^2)</f>
        <v>#DIV/0!</v>
      </c>
      <c r="M4" s="9" t="str">
        <f>$A4 &amp; M$2</f>
        <v>0 абс. Δh</v>
      </c>
      <c r="N4" t="str">
        <f t="shared" si="0"/>
        <v>0 SBAS Δh</v>
      </c>
      <c r="P4" s="6" t="str">
        <f>Данные!F5 &amp;"/"&amp; Данные!G5</f>
        <v>/</v>
      </c>
      <c r="Q4" s="7" t="str">
        <f>Данные!L5 &amp;"/"&amp; Данные!M5</f>
        <v>/</v>
      </c>
      <c r="R4" s="7" t="str">
        <f>Данные!R5 &amp;"/"&amp; Данные!S5</f>
        <v>/</v>
      </c>
      <c r="S4" s="7" t="str">
        <f>Данные!X5 &amp;"/"&amp; Данные!Y5</f>
        <v>/</v>
      </c>
      <c r="T4" s="7" t="str">
        <f>Данные!AD5 &amp;"/"&amp; Данные!AE5</f>
        <v>/</v>
      </c>
    </row>
    <row r="5" spans="1:20" x14ac:dyDescent="0.3">
      <c r="A5">
        <f>Данные!N1</f>
        <v>0</v>
      </c>
      <c r="B5">
        <f>MAX(Данные!N4:N63)</f>
        <v>0</v>
      </c>
      <c r="C5" s="5" t="e">
        <f>STDEVP(Данные!N4:N63)</f>
        <v>#DIV/0!</v>
      </c>
      <c r="D5" cm="1">
        <f t="array" ref="D5">INDEX(Данные!O4:O63, MATCH(MAX(ABS(Данные!O4:O63)), ABS(Данные!O4:O63), 0))</f>
        <v>0</v>
      </c>
      <c r="E5" s="5" t="e">
        <f>STDEVP(Данные!O4:O63)</f>
        <v>#DIV/0!</v>
      </c>
      <c r="F5" cm="1">
        <f t="array" ref="F5">INDEX(Данные!P4:P63, MATCH(MAX(ABS(Данные!P4:P63)), ABS(Данные!P4:P63), 0))</f>
        <v>0</v>
      </c>
      <c r="G5" s="5" t="e">
        <f>STDEVP(Данные!P4:P63)</f>
        <v>#DIV/0!</v>
      </c>
      <c r="H5" s="4" t="e">
        <f>AVERAGE(Данные!Q4:Q63)</f>
        <v>#DIV/0!</v>
      </c>
      <c r="I5" s="3" t="e">
        <f>AVERAGE(Данные!R4:R63)</f>
        <v>#DIV/0!</v>
      </c>
      <c r="J5" s="3" t="e">
        <f>AVERAGE(Данные!S4:S63)</f>
        <v>#DIV/0!</v>
      </c>
      <c r="K5" s="3" t="e">
        <f>SQRT(I5^2+J5^2)</f>
        <v>#DIV/0!</v>
      </c>
      <c r="M5" s="9" t="str">
        <f>$A5 &amp; M$2</f>
        <v>0 абс. Δh</v>
      </c>
      <c r="N5" t="str">
        <f t="shared" si="0"/>
        <v>0 SBAS Δh</v>
      </c>
      <c r="P5" s="6" t="str">
        <f>Данные!F6 &amp;"/"&amp; Данные!G6</f>
        <v>/</v>
      </c>
      <c r="Q5" s="7" t="str">
        <f>Данные!L6 &amp;"/"&amp; Данные!M6</f>
        <v>/</v>
      </c>
      <c r="R5" s="7" t="str">
        <f>Данные!R6 &amp;"/"&amp; Данные!S6</f>
        <v>/</v>
      </c>
      <c r="S5" s="7" t="str">
        <f>Данные!X6 &amp;"/"&amp; Данные!Y6</f>
        <v>/</v>
      </c>
      <c r="T5" s="7" t="str">
        <f>Данные!AD6 &amp;"/"&amp; Данные!AE6</f>
        <v>/</v>
      </c>
    </row>
    <row r="6" spans="1:20" x14ac:dyDescent="0.3">
      <c r="A6">
        <f>Данные!T1</f>
        <v>0</v>
      </c>
      <c r="B6">
        <f>MAX(Данные!T4:T63)</f>
        <v>0</v>
      </c>
      <c r="C6" s="5" t="e">
        <f>STDEVP(Данные!T4:T63)</f>
        <v>#DIV/0!</v>
      </c>
      <c r="D6" cm="1">
        <f t="array" ref="D6">INDEX(Данные!U4:U63, MATCH(MAX(ABS(Данные!U4:U63)), ABS(Данные!U4:U63), 0))</f>
        <v>0</v>
      </c>
      <c r="E6" s="5" t="e">
        <f>STDEVP(Данные!U4:U63)</f>
        <v>#DIV/0!</v>
      </c>
      <c r="F6" cm="1">
        <f t="array" ref="F6">INDEX(Данные!V4:V63, MATCH(MAX(ABS(Данные!V4:V63)), ABS(Данные!V4:V63), 0))</f>
        <v>0</v>
      </c>
      <c r="G6" s="5" t="e">
        <f>STDEVP(Данные!V4:V63)</f>
        <v>#DIV/0!</v>
      </c>
      <c r="H6" s="4" t="e">
        <f>AVERAGE(Данные!W4:W63)</f>
        <v>#DIV/0!</v>
      </c>
      <c r="I6" s="3" t="e">
        <f>AVERAGE(Данные!X4:X63)</f>
        <v>#DIV/0!</v>
      </c>
      <c r="J6" s="3" t="e">
        <f>AVERAGE(Данные!Y4:Y63)</f>
        <v>#DIV/0!</v>
      </c>
      <c r="K6" s="3" t="e">
        <f>SQRT(I6^2+J6^2)</f>
        <v>#DIV/0!</v>
      </c>
      <c r="M6" s="9" t="str">
        <f>$A6 &amp; M$2</f>
        <v>0 абс. Δh</v>
      </c>
      <c r="N6" t="str">
        <f t="shared" si="0"/>
        <v>0 SBAS Δh</v>
      </c>
      <c r="P6" s="6" t="str">
        <f>Данные!F7 &amp;"/"&amp; Данные!G7</f>
        <v>/</v>
      </c>
      <c r="Q6" s="7" t="str">
        <f>Данные!L7 &amp;"/"&amp; Данные!M7</f>
        <v>/</v>
      </c>
      <c r="R6" s="7" t="str">
        <f>Данные!R7 &amp;"/"&amp; Данные!S7</f>
        <v>/</v>
      </c>
      <c r="S6" s="7" t="str">
        <f>Данные!X7 &amp;"/"&amp; Данные!Y7</f>
        <v>/</v>
      </c>
      <c r="T6" s="7" t="str">
        <f>Данные!AD7 &amp;"/"&amp; Данные!AE7</f>
        <v>/</v>
      </c>
    </row>
    <row r="7" spans="1:20" x14ac:dyDescent="0.3">
      <c r="A7">
        <f>Данные!Z1</f>
        <v>0</v>
      </c>
      <c r="B7">
        <f>MAX(Данные!Z4:Z63)</f>
        <v>0</v>
      </c>
      <c r="C7" s="5" t="e">
        <f>STDEVP(Данные!Z4:Z63)</f>
        <v>#DIV/0!</v>
      </c>
      <c r="D7" cm="1">
        <f t="array" ref="D7">INDEX(Данные!AA4:AA63, MATCH(MAX(ABS(Данные!AA4:AA63)), ABS(Данные!AA4:AA63), 0))</f>
        <v>0</v>
      </c>
      <c r="E7" s="5" t="e">
        <f>STDEVP(Данные!AA4:AA63)</f>
        <v>#DIV/0!</v>
      </c>
      <c r="F7" cm="1">
        <f t="array" ref="F7">INDEX(Данные!AB4:AB63, MATCH(MAX(ABS(Данные!AB4:AB63)), ABS(Данные!AB4:AB63), 0))</f>
        <v>0</v>
      </c>
      <c r="G7" s="5" t="e">
        <f>STDEVP(Данные!AB4:AB63)</f>
        <v>#DIV/0!</v>
      </c>
      <c r="H7" s="4" t="e">
        <f>AVERAGE(Данные!AC4:AC63)</f>
        <v>#DIV/0!</v>
      </c>
      <c r="I7" s="3" t="e">
        <f>AVERAGE(Данные!AD4:AD63)</f>
        <v>#DIV/0!</v>
      </c>
      <c r="J7" s="3" t="e">
        <f>AVERAGE(Данные!AE4:AE63)</f>
        <v>#DIV/0!</v>
      </c>
      <c r="K7" s="3" t="e">
        <f>SQRT(I7^2+J7^2)</f>
        <v>#DIV/0!</v>
      </c>
      <c r="M7" s="9" t="str">
        <f>$A7 &amp; M$2</f>
        <v>0 абс. Δh</v>
      </c>
      <c r="N7" t="str">
        <f t="shared" si="0"/>
        <v>0 SBAS Δh</v>
      </c>
      <c r="P7" s="6" t="str">
        <f>Данные!F8 &amp;"/"&amp; Данные!G8</f>
        <v>/</v>
      </c>
      <c r="Q7" s="7" t="str">
        <f>Данные!L8 &amp;"/"&amp; Данные!M8</f>
        <v>/</v>
      </c>
      <c r="R7" s="7" t="str">
        <f>Данные!R8 &amp;"/"&amp; Данные!S8</f>
        <v>/</v>
      </c>
      <c r="S7" s="7" t="str">
        <f>Данные!X8 &amp;"/"&amp; Данные!Y8</f>
        <v>/</v>
      </c>
      <c r="T7" s="7" t="str">
        <f>Данные!AD8 &amp;"/"&amp; Данные!AE8</f>
        <v>/</v>
      </c>
    </row>
    <row r="8" spans="1:20" x14ac:dyDescent="0.3">
      <c r="P8" s="6" t="str">
        <f>Данные!F9 &amp;"/"&amp; Данные!G9</f>
        <v>/</v>
      </c>
      <c r="Q8" s="7" t="str">
        <f>Данные!L9 &amp;"/"&amp; Данные!M9</f>
        <v>/</v>
      </c>
      <c r="R8" s="7" t="str">
        <f>Данные!R9 &amp;"/"&amp; Данные!S9</f>
        <v>/</v>
      </c>
      <c r="S8" s="7" t="str">
        <f>Данные!X9 &amp;"/"&amp; Данные!Y9</f>
        <v>/</v>
      </c>
      <c r="T8" s="7" t="str">
        <f>Данные!AD9 &amp;"/"&amp; Данные!AE9</f>
        <v>/</v>
      </c>
    </row>
    <row r="9" spans="1:20" x14ac:dyDescent="0.3">
      <c r="P9" s="6" t="str">
        <f>Данные!F10 &amp;"/"&amp; Данные!G10</f>
        <v>/</v>
      </c>
      <c r="Q9" s="7" t="str">
        <f>Данные!L10 &amp;"/"&amp; Данные!M10</f>
        <v>/</v>
      </c>
      <c r="R9" s="7" t="str">
        <f>Данные!R10 &amp;"/"&amp; Данные!S10</f>
        <v>/</v>
      </c>
      <c r="S9" s="7" t="str">
        <f>Данные!X10 &amp;"/"&amp; Данные!Y10</f>
        <v>/</v>
      </c>
      <c r="T9" s="7" t="str">
        <f>Данные!AD10 &amp;"/"&amp; Данные!AE10</f>
        <v>/</v>
      </c>
    </row>
    <row r="10" spans="1:20" x14ac:dyDescent="0.3">
      <c r="P10" s="6" t="str">
        <f>Данные!F11 &amp;"/"&amp; Данные!G11</f>
        <v>/</v>
      </c>
      <c r="Q10" s="7" t="str">
        <f>Данные!L11 &amp;"/"&amp; Данные!M11</f>
        <v>/</v>
      </c>
      <c r="R10" s="7" t="str">
        <f>Данные!R11 &amp;"/"&amp; Данные!S11</f>
        <v>/</v>
      </c>
      <c r="S10" s="7" t="str">
        <f>Данные!X11 &amp;"/"&amp; Данные!Y11</f>
        <v>/</v>
      </c>
      <c r="T10" s="7" t="str">
        <f>Данные!AD11 &amp;"/"&amp; Данные!AE11</f>
        <v>/</v>
      </c>
    </row>
    <row r="11" spans="1:20" x14ac:dyDescent="0.3">
      <c r="P11" s="6" t="str">
        <f>Данные!F12 &amp;"/"&amp; Данные!G12</f>
        <v>/</v>
      </c>
      <c r="Q11" s="7" t="str">
        <f>Данные!L12 &amp;"/"&amp; Данные!M12</f>
        <v>/</v>
      </c>
      <c r="R11" s="7" t="str">
        <f>Данные!R12 &amp;"/"&amp; Данные!S12</f>
        <v>/</v>
      </c>
      <c r="S11" s="7" t="str">
        <f>Данные!X12 &amp;"/"&amp; Данные!Y12</f>
        <v>/</v>
      </c>
      <c r="T11" s="7" t="str">
        <f>Данные!AD12 &amp;"/"&amp; Данные!AE12</f>
        <v>/</v>
      </c>
    </row>
    <row r="12" spans="1:20" x14ac:dyDescent="0.3">
      <c r="P12" s="6" t="str">
        <f>Данные!F13 &amp;"/"&amp; Данные!G13</f>
        <v>/</v>
      </c>
      <c r="Q12" s="7" t="str">
        <f>Данные!L13 &amp;"/"&amp; Данные!M13</f>
        <v>/</v>
      </c>
      <c r="R12" s="7" t="str">
        <f>Данные!R13 &amp;"/"&amp; Данные!S13</f>
        <v>/</v>
      </c>
      <c r="S12" s="7" t="str">
        <f>Данные!X13 &amp;"/"&amp; Данные!Y13</f>
        <v>/</v>
      </c>
      <c r="T12" s="7" t="str">
        <f>Данные!AD13 &amp;"/"&amp; Данные!AE13</f>
        <v>/</v>
      </c>
    </row>
    <row r="13" spans="1:20" x14ac:dyDescent="0.3">
      <c r="P13" s="6" t="str">
        <f>Данные!F14 &amp;"/"&amp; Данные!G14</f>
        <v>/</v>
      </c>
      <c r="Q13" s="7" t="str">
        <f>Данные!L14 &amp;"/"&amp; Данные!M14</f>
        <v>/</v>
      </c>
      <c r="R13" s="7" t="str">
        <f>Данные!R14 &amp;"/"&amp; Данные!S14</f>
        <v>/</v>
      </c>
      <c r="S13" s="7" t="str">
        <f>Данные!X14 &amp;"/"&amp; Данные!Y14</f>
        <v>/</v>
      </c>
      <c r="T13" s="7" t="str">
        <f>Данные!AD14 &amp;"/"&amp; Данные!AE14</f>
        <v>/</v>
      </c>
    </row>
    <row r="14" spans="1:20" x14ac:dyDescent="0.3">
      <c r="P14" s="6" t="str">
        <f>Данные!F15 &amp;"/"&amp; Данные!G15</f>
        <v>/</v>
      </c>
      <c r="Q14" s="7" t="str">
        <f>Данные!L15 &amp;"/"&amp; Данные!M15</f>
        <v>/</v>
      </c>
      <c r="R14" s="7" t="str">
        <f>Данные!R15 &amp;"/"&amp; Данные!S15</f>
        <v>/</v>
      </c>
      <c r="S14" s="7" t="str">
        <f>Данные!X15 &amp;"/"&amp; Данные!Y15</f>
        <v>/</v>
      </c>
      <c r="T14" s="7" t="str">
        <f>Данные!AD15 &amp;"/"&amp; Данные!AE15</f>
        <v>/</v>
      </c>
    </row>
    <row r="15" spans="1:20" x14ac:dyDescent="0.3">
      <c r="D15" s="2"/>
      <c r="P15" s="6" t="str">
        <f>Данные!F16 &amp;"/"&amp; Данные!G16</f>
        <v>/</v>
      </c>
      <c r="Q15" s="7" t="str">
        <f>Данные!L16 &amp;"/"&amp; Данные!M16</f>
        <v>/</v>
      </c>
      <c r="R15" s="7" t="str">
        <f>Данные!R16 &amp;"/"&amp; Данные!S16</f>
        <v>/</v>
      </c>
      <c r="S15" s="7" t="str">
        <f>Данные!X16 &amp;"/"&amp; Данные!Y16</f>
        <v>/</v>
      </c>
      <c r="T15" s="7" t="str">
        <f>Данные!AD16 &amp;"/"&amp; Данные!AE16</f>
        <v>/</v>
      </c>
    </row>
    <row r="16" spans="1:20" x14ac:dyDescent="0.3">
      <c r="P16" s="6" t="str">
        <f>Данные!F17 &amp;"/"&amp; Данные!G17</f>
        <v>/</v>
      </c>
      <c r="Q16" s="7" t="str">
        <f>Данные!L17 &amp;"/"&amp; Данные!M17</f>
        <v>/</v>
      </c>
      <c r="R16" s="7" t="str">
        <f>Данные!R17 &amp;"/"&amp; Данные!S17</f>
        <v>/</v>
      </c>
      <c r="S16" s="7" t="str">
        <f>Данные!X17 &amp;"/"&amp; Данные!Y17</f>
        <v>/</v>
      </c>
      <c r="T16" s="7" t="str">
        <f>Данные!AD17 &amp;"/"&amp; Данные!AE17</f>
        <v>/</v>
      </c>
    </row>
    <row r="17" spans="16:20" x14ac:dyDescent="0.3">
      <c r="P17" s="6" t="str">
        <f>Данные!F18 &amp;"/"&amp; Данные!G18</f>
        <v>/</v>
      </c>
      <c r="Q17" s="7" t="str">
        <f>Данные!L18 &amp;"/"&amp; Данные!M18</f>
        <v>/</v>
      </c>
      <c r="R17" s="7" t="str">
        <f>Данные!R18 &amp;"/"&amp; Данные!S18</f>
        <v>/</v>
      </c>
      <c r="S17" s="7" t="str">
        <f>Данные!X18 &amp;"/"&amp; Данные!Y18</f>
        <v>/</v>
      </c>
      <c r="T17" s="7" t="str">
        <f>Данные!AD18 &amp;"/"&amp; Данные!AE18</f>
        <v>/</v>
      </c>
    </row>
    <row r="18" spans="16:20" x14ac:dyDescent="0.3">
      <c r="P18" s="6" t="str">
        <f>Данные!F19 &amp;"/"&amp; Данные!G19</f>
        <v>/</v>
      </c>
      <c r="Q18" s="7" t="str">
        <f>Данные!L19 &amp;"/"&amp; Данные!M19</f>
        <v>/</v>
      </c>
      <c r="R18" s="7" t="str">
        <f>Данные!R19 &amp;"/"&amp; Данные!S19</f>
        <v>/</v>
      </c>
      <c r="S18" s="7" t="str">
        <f>Данные!X19 &amp;"/"&amp; Данные!Y19</f>
        <v>/</v>
      </c>
      <c r="T18" s="7" t="str">
        <f>Данные!AD19 &amp;"/"&amp; Данные!AE19</f>
        <v>/</v>
      </c>
    </row>
    <row r="19" spans="16:20" x14ac:dyDescent="0.3">
      <c r="P19" s="6" t="str">
        <f>Данные!F20 &amp;"/"&amp; Данные!G20</f>
        <v>/</v>
      </c>
      <c r="Q19" s="7" t="str">
        <f>Данные!L20 &amp;"/"&amp; Данные!M20</f>
        <v>/</v>
      </c>
      <c r="R19" s="7" t="str">
        <f>Данные!R20 &amp;"/"&amp; Данные!S20</f>
        <v>/</v>
      </c>
      <c r="S19" s="7" t="str">
        <f>Данные!X20 &amp;"/"&amp; Данные!Y20</f>
        <v>/</v>
      </c>
      <c r="T19" s="7" t="str">
        <f>Данные!AD20 &amp;"/"&amp; Данные!AE20</f>
        <v>/</v>
      </c>
    </row>
    <row r="20" spans="16:20" x14ac:dyDescent="0.3">
      <c r="P20" s="6" t="str">
        <f>Данные!F21 &amp;"/"&amp; Данные!G21</f>
        <v>/</v>
      </c>
      <c r="Q20" s="7" t="str">
        <f>Данные!L21 &amp;"/"&amp; Данные!M21</f>
        <v>/</v>
      </c>
      <c r="R20" s="7" t="str">
        <f>Данные!R21 &amp;"/"&amp; Данные!S21</f>
        <v>/</v>
      </c>
      <c r="S20" s="7" t="str">
        <f>Данные!X21 &amp;"/"&amp; Данные!Y21</f>
        <v>/</v>
      </c>
      <c r="T20" s="7" t="str">
        <f>Данные!AD21 &amp;"/"&amp; Данные!AE21</f>
        <v>/</v>
      </c>
    </row>
    <row r="21" spans="16:20" x14ac:dyDescent="0.3">
      <c r="P21" s="6" t="str">
        <f>Данные!F22 &amp;"/"&amp; Данные!G22</f>
        <v>/</v>
      </c>
      <c r="Q21" s="7" t="str">
        <f>Данные!L22 &amp;"/"&amp; Данные!M22</f>
        <v>/</v>
      </c>
      <c r="R21" s="7" t="str">
        <f>Данные!R22 &amp;"/"&amp; Данные!S22</f>
        <v>/</v>
      </c>
      <c r="S21" s="7" t="str">
        <f>Данные!X22 &amp;"/"&amp; Данные!Y22</f>
        <v>/</v>
      </c>
      <c r="T21" s="7" t="str">
        <f>Данные!AD22 &amp;"/"&amp; Данные!AE22</f>
        <v>/</v>
      </c>
    </row>
    <row r="22" spans="16:20" x14ac:dyDescent="0.3">
      <c r="P22" s="6" t="str">
        <f>Данные!F23 &amp;"/"&amp; Данные!G23</f>
        <v>/</v>
      </c>
      <c r="Q22" s="7" t="str">
        <f>Данные!L23 &amp;"/"&amp; Данные!M23</f>
        <v>/</v>
      </c>
      <c r="R22" s="7" t="str">
        <f>Данные!R23 &amp;"/"&amp; Данные!S23</f>
        <v>/</v>
      </c>
      <c r="S22" s="7" t="str">
        <f>Данные!X23 &amp;"/"&amp; Данные!Y23</f>
        <v>/</v>
      </c>
      <c r="T22" s="7" t="str">
        <f>Данные!AD23 &amp;"/"&amp; Данные!AE23</f>
        <v>/</v>
      </c>
    </row>
    <row r="23" spans="16:20" x14ac:dyDescent="0.3">
      <c r="P23" s="6" t="str">
        <f>Данные!F24 &amp;"/"&amp; Данные!G24</f>
        <v>/</v>
      </c>
      <c r="Q23" s="7" t="str">
        <f>Данные!L24 &amp;"/"&amp; Данные!M24</f>
        <v>/</v>
      </c>
      <c r="R23" s="7" t="str">
        <f>Данные!R24 &amp;"/"&amp; Данные!S24</f>
        <v>/</v>
      </c>
      <c r="S23" s="7" t="str">
        <f>Данные!X24 &amp;"/"&amp; Данные!Y24</f>
        <v>/</v>
      </c>
      <c r="T23" s="7" t="str">
        <f>Данные!AD24 &amp;"/"&amp; Данные!AE24</f>
        <v>/</v>
      </c>
    </row>
    <row r="24" spans="16:20" x14ac:dyDescent="0.3">
      <c r="P24" s="6" t="str">
        <f>Данные!F25 &amp;"/"&amp; Данные!G25</f>
        <v>/</v>
      </c>
      <c r="Q24" s="7" t="str">
        <f>Данные!L25 &amp;"/"&amp; Данные!M25</f>
        <v>/</v>
      </c>
      <c r="R24" s="7" t="str">
        <f>Данные!R25 &amp;"/"&amp; Данные!S25</f>
        <v>/</v>
      </c>
      <c r="S24" s="7" t="str">
        <f>Данные!X25 &amp;"/"&amp; Данные!Y25</f>
        <v>/</v>
      </c>
      <c r="T24" s="7" t="str">
        <f>Данные!AD25 &amp;"/"&amp; Данные!AE25</f>
        <v>/</v>
      </c>
    </row>
    <row r="25" spans="16:20" x14ac:dyDescent="0.3">
      <c r="P25" s="6" t="str">
        <f>Данные!F26 &amp;"/"&amp; Данные!G26</f>
        <v>/</v>
      </c>
      <c r="Q25" s="7" t="str">
        <f>Данные!L26 &amp;"/"&amp; Данные!M26</f>
        <v>/</v>
      </c>
      <c r="R25" s="7" t="str">
        <f>Данные!R26 &amp;"/"&amp; Данные!S26</f>
        <v>/</v>
      </c>
      <c r="S25" s="7" t="str">
        <f>Данные!X26 &amp;"/"&amp; Данные!Y26</f>
        <v>/</v>
      </c>
      <c r="T25" s="7" t="str">
        <f>Данные!AD26 &amp;"/"&amp; Данные!AE26</f>
        <v>/</v>
      </c>
    </row>
    <row r="26" spans="16:20" x14ac:dyDescent="0.3">
      <c r="P26" s="6" t="str">
        <f>Данные!F27 &amp;"/"&amp; Данные!G27</f>
        <v>/</v>
      </c>
      <c r="Q26" s="7" t="str">
        <f>Данные!L27 &amp;"/"&amp; Данные!M27</f>
        <v>/</v>
      </c>
      <c r="R26" s="7" t="str">
        <f>Данные!R27 &amp;"/"&amp; Данные!S27</f>
        <v>/</v>
      </c>
      <c r="S26" s="7" t="str">
        <f>Данные!X27 &amp;"/"&amp; Данные!Y27</f>
        <v>/</v>
      </c>
      <c r="T26" s="7" t="str">
        <f>Данные!AD27 &amp;"/"&amp; Данные!AE27</f>
        <v>/</v>
      </c>
    </row>
    <row r="27" spans="16:20" x14ac:dyDescent="0.3">
      <c r="P27" s="6" t="str">
        <f>Данные!F28 &amp;"/"&amp; Данные!G28</f>
        <v>/</v>
      </c>
      <c r="Q27" s="7" t="str">
        <f>Данные!L28 &amp;"/"&amp; Данные!M28</f>
        <v>/</v>
      </c>
      <c r="R27" s="7" t="str">
        <f>Данные!R28 &amp;"/"&amp; Данные!S28</f>
        <v>/</v>
      </c>
      <c r="S27" s="7" t="str">
        <f>Данные!X28 &amp;"/"&amp; Данные!Y28</f>
        <v>/</v>
      </c>
      <c r="T27" s="7" t="str">
        <f>Данные!AD28 &amp;"/"&amp; Данные!AE28</f>
        <v>/</v>
      </c>
    </row>
    <row r="28" spans="16:20" x14ac:dyDescent="0.3">
      <c r="P28" s="6" t="str">
        <f>Данные!F29 &amp;"/"&amp; Данные!G29</f>
        <v>/</v>
      </c>
      <c r="Q28" s="7" t="str">
        <f>Данные!L29 &amp;"/"&amp; Данные!M29</f>
        <v>/</v>
      </c>
      <c r="R28" s="7" t="str">
        <f>Данные!R29 &amp;"/"&amp; Данные!S29</f>
        <v>/</v>
      </c>
      <c r="S28" s="7" t="str">
        <f>Данные!X29 &amp;"/"&amp; Данные!Y29</f>
        <v>/</v>
      </c>
      <c r="T28" s="7" t="str">
        <f>Данные!AD29 &amp;"/"&amp; Данные!AE29</f>
        <v>/</v>
      </c>
    </row>
    <row r="29" spans="16:20" x14ac:dyDescent="0.3">
      <c r="P29" s="6" t="str">
        <f>Данные!F30 &amp;"/"&amp; Данные!G30</f>
        <v>/</v>
      </c>
      <c r="Q29" s="7" t="str">
        <f>Данные!L30 &amp;"/"&amp; Данные!M30</f>
        <v>/</v>
      </c>
      <c r="R29" s="7" t="str">
        <f>Данные!R30 &amp;"/"&amp; Данные!S30</f>
        <v>/</v>
      </c>
      <c r="S29" s="7" t="str">
        <f>Данные!X30 &amp;"/"&amp; Данные!Y30</f>
        <v>/</v>
      </c>
      <c r="T29" s="7" t="str">
        <f>Данные!AD30 &amp;"/"&amp; Данные!AE30</f>
        <v>/</v>
      </c>
    </row>
    <row r="30" spans="16:20" x14ac:dyDescent="0.3">
      <c r="P30" s="6" t="str">
        <f>Данные!F31 &amp;"/"&amp; Данные!G31</f>
        <v>/</v>
      </c>
      <c r="Q30" s="7" t="str">
        <f>Данные!L31 &amp;"/"&amp; Данные!M31</f>
        <v>/</v>
      </c>
      <c r="R30" s="7" t="str">
        <f>Данные!R31 &amp;"/"&amp; Данные!S31</f>
        <v>/</v>
      </c>
      <c r="S30" s="7" t="str">
        <f>Данные!X31 &amp;"/"&amp; Данные!Y31</f>
        <v>/</v>
      </c>
      <c r="T30" s="7" t="str">
        <f>Данные!AD31 &amp;"/"&amp; Данные!AE31</f>
        <v>/</v>
      </c>
    </row>
    <row r="31" spans="16:20" x14ac:dyDescent="0.3">
      <c r="P31" s="6" t="str">
        <f>Данные!F32 &amp;"/"&amp; Данные!G32</f>
        <v>/</v>
      </c>
      <c r="Q31" s="7" t="str">
        <f>Данные!L32 &amp;"/"&amp; Данные!M32</f>
        <v>/</v>
      </c>
      <c r="R31" s="7" t="str">
        <f>Данные!R32 &amp;"/"&amp; Данные!S32</f>
        <v>/</v>
      </c>
      <c r="S31" s="7" t="str">
        <f>Данные!X32 &amp;"/"&amp; Данные!Y32</f>
        <v>/</v>
      </c>
      <c r="T31" s="7" t="str">
        <f>Данные!AD32 &amp;"/"&amp; Данные!AE32</f>
        <v>/</v>
      </c>
    </row>
    <row r="32" spans="16:20" x14ac:dyDescent="0.3">
      <c r="P32" s="6" t="str">
        <f>Данные!F33 &amp;"/"&amp; Данные!G33</f>
        <v>/</v>
      </c>
      <c r="Q32" s="7" t="str">
        <f>Данные!L33 &amp;"/"&amp; Данные!M33</f>
        <v>/</v>
      </c>
      <c r="R32" s="7" t="str">
        <f>Данные!R33 &amp;"/"&amp; Данные!S33</f>
        <v>/</v>
      </c>
      <c r="S32" s="7" t="str">
        <f>Данные!X33 &amp;"/"&amp; Данные!Y33</f>
        <v>/</v>
      </c>
      <c r="T32" s="7" t="str">
        <f>Данные!AD33 &amp;"/"&amp; Данные!AE33</f>
        <v>/</v>
      </c>
    </row>
    <row r="33" spans="16:20" x14ac:dyDescent="0.3">
      <c r="P33" s="6" t="str">
        <f>Данные!F34 &amp;"/"&amp; Данные!G34</f>
        <v>/</v>
      </c>
      <c r="Q33" s="7" t="str">
        <f>Данные!L34 &amp;"/"&amp; Данные!M34</f>
        <v>/</v>
      </c>
      <c r="R33" s="7" t="str">
        <f>Данные!R34 &amp;"/"&amp; Данные!S34</f>
        <v>/</v>
      </c>
      <c r="S33" s="7" t="str">
        <f>Данные!X34 &amp;"/"&amp; Данные!Y34</f>
        <v>/</v>
      </c>
      <c r="T33" s="7" t="str">
        <f>Данные!AD34 &amp;"/"&amp; Данные!AE34</f>
        <v>/</v>
      </c>
    </row>
    <row r="34" spans="16:20" x14ac:dyDescent="0.3">
      <c r="P34" s="6" t="str">
        <f>Данные!F35 &amp;"/"&amp; Данные!G35</f>
        <v>/</v>
      </c>
      <c r="Q34" s="7" t="str">
        <f>Данные!L35 &amp;"/"&amp; Данные!M35</f>
        <v>/</v>
      </c>
      <c r="R34" s="7" t="str">
        <f>Данные!R35 &amp;"/"&amp; Данные!S35</f>
        <v>/</v>
      </c>
      <c r="S34" s="7" t="str">
        <f>Данные!X35 &amp;"/"&amp; Данные!Y35</f>
        <v>/</v>
      </c>
      <c r="T34" s="7" t="str">
        <f>Данные!AD35 &amp;"/"&amp; Данные!AE35</f>
        <v>/</v>
      </c>
    </row>
    <row r="35" spans="16:20" x14ac:dyDescent="0.3">
      <c r="P35" s="6" t="str">
        <f>Данные!F36 &amp;"/"&amp; Данные!G36</f>
        <v>/</v>
      </c>
      <c r="Q35" s="7" t="str">
        <f>Данные!L36 &amp;"/"&amp; Данные!M36</f>
        <v>/</v>
      </c>
      <c r="R35" s="7" t="str">
        <f>Данные!R36 &amp;"/"&amp; Данные!S36</f>
        <v>/</v>
      </c>
      <c r="S35" s="7" t="str">
        <f>Данные!X36 &amp;"/"&amp; Данные!Y36</f>
        <v>/</v>
      </c>
      <c r="T35" s="7" t="str">
        <f>Данные!AD36 &amp;"/"&amp; Данные!AE36</f>
        <v>/</v>
      </c>
    </row>
    <row r="36" spans="16:20" x14ac:dyDescent="0.3">
      <c r="P36" s="6" t="str">
        <f>Данные!F37 &amp;"/"&amp; Данные!G37</f>
        <v>/</v>
      </c>
      <c r="Q36" s="7" t="str">
        <f>Данные!L37 &amp;"/"&amp; Данные!M37</f>
        <v>/</v>
      </c>
      <c r="R36" s="7" t="str">
        <f>Данные!R37 &amp;"/"&amp; Данные!S37</f>
        <v>/</v>
      </c>
      <c r="S36" s="7" t="str">
        <f>Данные!X37 &amp;"/"&amp; Данные!Y37</f>
        <v>/</v>
      </c>
      <c r="T36" s="7" t="str">
        <f>Данные!AD37 &amp;"/"&amp; Данные!AE37</f>
        <v>/</v>
      </c>
    </row>
    <row r="37" spans="16:20" x14ac:dyDescent="0.3">
      <c r="P37" s="6" t="str">
        <f>Данные!F38 &amp;"/"&amp; Данные!G38</f>
        <v>/</v>
      </c>
      <c r="Q37" s="7" t="str">
        <f>Данные!L38 &amp;"/"&amp; Данные!M38</f>
        <v>/</v>
      </c>
      <c r="R37" s="7" t="str">
        <f>Данные!R38 &amp;"/"&amp; Данные!S38</f>
        <v>/</v>
      </c>
      <c r="S37" s="7" t="str">
        <f>Данные!X38 &amp;"/"&amp; Данные!Y38</f>
        <v>/</v>
      </c>
      <c r="T37" s="7" t="str">
        <f>Данные!AD38 &amp;"/"&amp; Данные!AE38</f>
        <v>/</v>
      </c>
    </row>
    <row r="38" spans="16:20" x14ac:dyDescent="0.3">
      <c r="P38" s="6" t="str">
        <f>Данные!F39 &amp;"/"&amp; Данные!G39</f>
        <v>/</v>
      </c>
      <c r="Q38" s="7" t="str">
        <f>Данные!L39 &amp;"/"&amp; Данные!M39</f>
        <v>/</v>
      </c>
      <c r="R38" s="7" t="str">
        <f>Данные!R39 &amp;"/"&amp; Данные!S39</f>
        <v>/</v>
      </c>
      <c r="S38" s="7" t="str">
        <f>Данные!X39 &amp;"/"&amp; Данные!Y39</f>
        <v>/</v>
      </c>
      <c r="T38" s="7" t="str">
        <f>Данные!AD39 &amp;"/"&amp; Данные!AE39</f>
        <v>/</v>
      </c>
    </row>
    <row r="39" spans="16:20" x14ac:dyDescent="0.3">
      <c r="P39" s="6" t="str">
        <f>Данные!F40 &amp;"/"&amp; Данные!G40</f>
        <v>/</v>
      </c>
      <c r="Q39" s="7" t="str">
        <f>Данные!L40 &amp;"/"&amp; Данные!M40</f>
        <v>/</v>
      </c>
      <c r="R39" s="7" t="str">
        <f>Данные!R40 &amp;"/"&amp; Данные!S40</f>
        <v>/</v>
      </c>
      <c r="S39" s="7" t="str">
        <f>Данные!X40 &amp;"/"&amp; Данные!Y40</f>
        <v>/</v>
      </c>
      <c r="T39" s="7" t="str">
        <f>Данные!AD40 &amp;"/"&amp; Данные!AE40</f>
        <v>/</v>
      </c>
    </row>
    <row r="40" spans="16:20" x14ac:dyDescent="0.3">
      <c r="P40" s="6" t="str">
        <f>Данные!F41 &amp;"/"&amp; Данные!G41</f>
        <v>/</v>
      </c>
      <c r="Q40" s="7" t="str">
        <f>Данные!L41 &amp;"/"&amp; Данные!M41</f>
        <v>/</v>
      </c>
      <c r="R40" s="7" t="str">
        <f>Данные!R41 &amp;"/"&amp; Данные!S41</f>
        <v>/</v>
      </c>
      <c r="S40" s="7" t="str">
        <f>Данные!X41 &amp;"/"&amp; Данные!Y41</f>
        <v>/</v>
      </c>
      <c r="T40" s="7" t="str">
        <f>Данные!AD41 &amp;"/"&amp; Данные!AE41</f>
        <v>/</v>
      </c>
    </row>
    <row r="41" spans="16:20" x14ac:dyDescent="0.3">
      <c r="P41" s="6" t="str">
        <f>Данные!F42 &amp;"/"&amp; Данные!G42</f>
        <v>/</v>
      </c>
      <c r="Q41" s="7" t="str">
        <f>Данные!L42 &amp;"/"&amp; Данные!M42</f>
        <v>/</v>
      </c>
      <c r="R41" s="7" t="str">
        <f>Данные!R42 &amp;"/"&amp; Данные!S42</f>
        <v>/</v>
      </c>
      <c r="S41" s="7" t="str">
        <f>Данные!X42 &amp;"/"&amp; Данные!Y42</f>
        <v>/</v>
      </c>
      <c r="T41" s="7" t="str">
        <f>Данные!AD42 &amp;"/"&amp; Данные!AE42</f>
        <v>/</v>
      </c>
    </row>
    <row r="42" spans="16:20" x14ac:dyDescent="0.3">
      <c r="P42" s="6" t="str">
        <f>Данные!F43 &amp;"/"&amp; Данные!G43</f>
        <v>/</v>
      </c>
      <c r="Q42" s="7" t="str">
        <f>Данные!L43 &amp;"/"&amp; Данные!M43</f>
        <v>/</v>
      </c>
      <c r="R42" s="7" t="str">
        <f>Данные!R43 &amp;"/"&amp; Данные!S43</f>
        <v>/</v>
      </c>
      <c r="S42" s="7" t="str">
        <f>Данные!X43 &amp;"/"&amp; Данные!Y43</f>
        <v>/</v>
      </c>
      <c r="T42" s="7" t="str">
        <f>Данные!AD43 &amp;"/"&amp; Данные!AE43</f>
        <v>/</v>
      </c>
    </row>
    <row r="43" spans="16:20" x14ac:dyDescent="0.3">
      <c r="P43" s="6" t="str">
        <f>Данные!F44 &amp;"/"&amp; Данные!G44</f>
        <v>/</v>
      </c>
      <c r="Q43" s="7" t="str">
        <f>Данные!L44 &amp;"/"&amp; Данные!M44</f>
        <v>/</v>
      </c>
      <c r="R43" s="7" t="str">
        <f>Данные!R44 &amp;"/"&amp; Данные!S44</f>
        <v>/</v>
      </c>
      <c r="S43" s="7" t="str">
        <f>Данные!X44 &amp;"/"&amp; Данные!Y44</f>
        <v>/</v>
      </c>
      <c r="T43" s="7" t="str">
        <f>Данные!AD44 &amp;"/"&amp; Данные!AE44</f>
        <v>/</v>
      </c>
    </row>
    <row r="44" spans="16:20" x14ac:dyDescent="0.3">
      <c r="P44" s="6" t="str">
        <f>Данные!F45 &amp;"/"&amp; Данные!G45</f>
        <v>/</v>
      </c>
      <c r="Q44" s="7" t="str">
        <f>Данные!L45 &amp;"/"&amp; Данные!M45</f>
        <v>/</v>
      </c>
      <c r="R44" s="7" t="str">
        <f>Данные!R45 &amp;"/"&amp; Данные!S45</f>
        <v>/</v>
      </c>
      <c r="S44" s="7" t="str">
        <f>Данные!X45 &amp;"/"&amp; Данные!Y45</f>
        <v>/</v>
      </c>
      <c r="T44" s="7" t="str">
        <f>Данные!AD45 &amp;"/"&amp; Данные!AE45</f>
        <v>/</v>
      </c>
    </row>
    <row r="45" spans="16:20" x14ac:dyDescent="0.3">
      <c r="P45" s="6" t="str">
        <f>Данные!F46 &amp;"/"&amp; Данные!G46</f>
        <v>/</v>
      </c>
      <c r="Q45" s="7" t="str">
        <f>Данные!L46 &amp;"/"&amp; Данные!M46</f>
        <v>/</v>
      </c>
      <c r="R45" s="7" t="str">
        <f>Данные!R46 &amp;"/"&amp; Данные!S46</f>
        <v>/</v>
      </c>
      <c r="S45" s="7" t="str">
        <f>Данные!X46 &amp;"/"&amp; Данные!Y46</f>
        <v>/</v>
      </c>
      <c r="T45" s="7" t="str">
        <f>Данные!AD46 &amp;"/"&amp; Данные!AE46</f>
        <v>/</v>
      </c>
    </row>
    <row r="46" spans="16:20" x14ac:dyDescent="0.3">
      <c r="P46" s="6" t="str">
        <f>Данные!F47 &amp;"/"&amp; Данные!G47</f>
        <v>/</v>
      </c>
      <c r="Q46" s="7" t="str">
        <f>Данные!L47 &amp;"/"&amp; Данные!M47</f>
        <v>/</v>
      </c>
      <c r="R46" s="7" t="str">
        <f>Данные!R47 &amp;"/"&amp; Данные!S47</f>
        <v>/</v>
      </c>
      <c r="S46" s="7" t="str">
        <f>Данные!X47 &amp;"/"&amp; Данные!Y47</f>
        <v>/</v>
      </c>
      <c r="T46" s="7" t="str">
        <f>Данные!AD47 &amp;"/"&amp; Данные!AE47</f>
        <v>/</v>
      </c>
    </row>
    <row r="47" spans="16:20" x14ac:dyDescent="0.3">
      <c r="P47" s="6" t="str">
        <f>Данные!F48 &amp;"/"&amp; Данные!G48</f>
        <v>/</v>
      </c>
      <c r="Q47" s="7" t="str">
        <f>Данные!L48 &amp;"/"&amp; Данные!M48</f>
        <v>/</v>
      </c>
      <c r="R47" s="7" t="str">
        <f>Данные!R48 &amp;"/"&amp; Данные!S48</f>
        <v>/</v>
      </c>
      <c r="S47" s="7" t="str">
        <f>Данные!X48 &amp;"/"&amp; Данные!Y48</f>
        <v>/</v>
      </c>
      <c r="T47" s="7" t="str">
        <f>Данные!AD48 &amp;"/"&amp; Данные!AE48</f>
        <v>/</v>
      </c>
    </row>
    <row r="48" spans="16:20" x14ac:dyDescent="0.3">
      <c r="P48" s="6" t="str">
        <f>Данные!F49 &amp;"/"&amp; Данные!G49</f>
        <v>/</v>
      </c>
      <c r="Q48" s="7" t="str">
        <f>Данные!L49 &amp;"/"&amp; Данные!M49</f>
        <v>/</v>
      </c>
      <c r="R48" s="7" t="str">
        <f>Данные!R49 &amp;"/"&amp; Данные!S49</f>
        <v>/</v>
      </c>
      <c r="S48" s="7" t="str">
        <f>Данные!X49 &amp;"/"&amp; Данные!Y49</f>
        <v>/</v>
      </c>
      <c r="T48" s="7" t="str">
        <f>Данные!AD49 &amp;"/"&amp; Данные!AE49</f>
        <v>/</v>
      </c>
    </row>
    <row r="49" spans="16:20" x14ac:dyDescent="0.3">
      <c r="P49" s="6" t="str">
        <f>Данные!F50 &amp;"/"&amp; Данные!G50</f>
        <v>/</v>
      </c>
      <c r="Q49" s="7" t="str">
        <f>Данные!L50 &amp;"/"&amp; Данные!M50</f>
        <v>/</v>
      </c>
      <c r="R49" s="7" t="str">
        <f>Данные!R50 &amp;"/"&amp; Данные!S50</f>
        <v>/</v>
      </c>
      <c r="S49" s="7" t="str">
        <f>Данные!X50 &amp;"/"&amp; Данные!Y50</f>
        <v>/</v>
      </c>
      <c r="T49" s="7" t="str">
        <f>Данные!AD50 &amp;"/"&amp; Данные!AE50</f>
        <v>/</v>
      </c>
    </row>
    <row r="50" spans="16:20" x14ac:dyDescent="0.3">
      <c r="P50" s="6" t="str">
        <f>Данные!F51 &amp;"/"&amp; Данные!G51</f>
        <v>/</v>
      </c>
      <c r="Q50" s="7" t="str">
        <f>Данные!L51 &amp;"/"&amp; Данные!M51</f>
        <v>/</v>
      </c>
      <c r="R50" s="7" t="str">
        <f>Данные!R51 &amp;"/"&amp; Данные!S51</f>
        <v>/</v>
      </c>
      <c r="S50" s="7" t="str">
        <f>Данные!X51 &amp;"/"&amp; Данные!Y51</f>
        <v>/</v>
      </c>
      <c r="T50" s="7" t="str">
        <f>Данные!AD51 &amp;"/"&amp; Данные!AE51</f>
        <v>/</v>
      </c>
    </row>
    <row r="51" spans="16:20" x14ac:dyDescent="0.3">
      <c r="P51" s="6" t="str">
        <f>Данные!F52 &amp;"/"&amp; Данные!G52</f>
        <v>/</v>
      </c>
      <c r="Q51" s="7" t="str">
        <f>Данные!L52 &amp;"/"&amp; Данные!M52</f>
        <v>/</v>
      </c>
      <c r="R51" s="7" t="str">
        <f>Данные!R52 &amp;"/"&amp; Данные!S52</f>
        <v>/</v>
      </c>
      <c r="S51" s="7" t="str">
        <f>Данные!X52 &amp;"/"&amp; Данные!Y52</f>
        <v>/</v>
      </c>
      <c r="T51" s="7" t="str">
        <f>Данные!AD52 &amp;"/"&amp; Данные!AE52</f>
        <v>/</v>
      </c>
    </row>
    <row r="52" spans="16:20" x14ac:dyDescent="0.3">
      <c r="P52" s="6" t="str">
        <f>Данные!F53 &amp;"/"&amp; Данные!G53</f>
        <v>/</v>
      </c>
      <c r="Q52" s="7" t="str">
        <f>Данные!L53 &amp;"/"&amp; Данные!M53</f>
        <v>/</v>
      </c>
      <c r="R52" s="7" t="str">
        <f>Данные!R53 &amp;"/"&amp; Данные!S53</f>
        <v>/</v>
      </c>
      <c r="S52" s="7" t="str">
        <f>Данные!X53 &amp;"/"&amp; Данные!Y53</f>
        <v>/</v>
      </c>
      <c r="T52" s="7" t="str">
        <f>Данные!AD53 &amp;"/"&amp; Данные!AE53</f>
        <v>/</v>
      </c>
    </row>
    <row r="53" spans="16:20" x14ac:dyDescent="0.3">
      <c r="P53" s="6" t="str">
        <f>Данные!F54 &amp;"/"&amp; Данные!G54</f>
        <v>/</v>
      </c>
      <c r="Q53" s="7" t="str">
        <f>Данные!L54 &amp;"/"&amp; Данные!M54</f>
        <v>/</v>
      </c>
      <c r="R53" s="7" t="str">
        <f>Данные!R54 &amp;"/"&amp; Данные!S54</f>
        <v>/</v>
      </c>
      <c r="S53" s="7" t="str">
        <f>Данные!X54 &amp;"/"&amp; Данные!Y54</f>
        <v>/</v>
      </c>
      <c r="T53" s="7" t="str">
        <f>Данные!AD54 &amp;"/"&amp; Данные!AE54</f>
        <v>/</v>
      </c>
    </row>
    <row r="54" spans="16:20" x14ac:dyDescent="0.3">
      <c r="P54" s="6" t="str">
        <f>Данные!F55 &amp;"/"&amp; Данные!G55</f>
        <v>/</v>
      </c>
      <c r="Q54" s="7" t="str">
        <f>Данные!L55 &amp;"/"&amp; Данные!M55</f>
        <v>/</v>
      </c>
      <c r="R54" s="7" t="str">
        <f>Данные!R55 &amp;"/"&amp; Данные!S55</f>
        <v>/</v>
      </c>
      <c r="S54" s="7" t="str">
        <f>Данные!X55 &amp;"/"&amp; Данные!Y55</f>
        <v>/</v>
      </c>
      <c r="T54" s="7" t="str">
        <f>Данные!AD55 &amp;"/"&amp; Данные!AE55</f>
        <v>/</v>
      </c>
    </row>
    <row r="55" spans="16:20" x14ac:dyDescent="0.3">
      <c r="P55" s="6" t="str">
        <f>Данные!F56 &amp;"/"&amp; Данные!G56</f>
        <v>/</v>
      </c>
      <c r="Q55" s="7" t="str">
        <f>Данные!L56 &amp;"/"&amp; Данные!M56</f>
        <v>/</v>
      </c>
      <c r="R55" s="7" t="str">
        <f>Данные!R56 &amp;"/"&amp; Данные!S56</f>
        <v>/</v>
      </c>
      <c r="S55" s="7" t="str">
        <f>Данные!X56 &amp;"/"&amp; Данные!Y56</f>
        <v>/</v>
      </c>
      <c r="T55" s="7" t="str">
        <f>Данные!AD56 &amp;"/"&amp; Данные!AE56</f>
        <v>/</v>
      </c>
    </row>
    <row r="56" spans="16:20" x14ac:dyDescent="0.3">
      <c r="P56" s="6" t="str">
        <f>Данные!F57 &amp;"/"&amp; Данные!G57</f>
        <v>/</v>
      </c>
      <c r="Q56" s="7" t="str">
        <f>Данные!L57 &amp;"/"&amp; Данные!M57</f>
        <v>/</v>
      </c>
      <c r="R56" s="7" t="str">
        <f>Данные!R57 &amp;"/"&amp; Данные!S57</f>
        <v>/</v>
      </c>
      <c r="S56" s="7" t="str">
        <f>Данные!X57 &amp;"/"&amp; Данные!Y57</f>
        <v>/</v>
      </c>
      <c r="T56" s="7" t="str">
        <f>Данные!AD57 &amp;"/"&amp; Данные!AE57</f>
        <v>/</v>
      </c>
    </row>
    <row r="57" spans="16:20" x14ac:dyDescent="0.3">
      <c r="P57" s="6" t="str">
        <f>Данные!F58 &amp;"/"&amp; Данные!G58</f>
        <v>/</v>
      </c>
      <c r="Q57" s="7" t="str">
        <f>Данные!L58 &amp;"/"&amp; Данные!M58</f>
        <v>/</v>
      </c>
      <c r="R57" s="7" t="str">
        <f>Данные!R58 &amp;"/"&amp; Данные!S58</f>
        <v>/</v>
      </c>
      <c r="S57" s="7" t="str">
        <f>Данные!X58 &amp;"/"&amp; Данные!Y58</f>
        <v>/</v>
      </c>
      <c r="T57" s="7" t="str">
        <f>Данные!AD58 &amp;"/"&amp; Данные!AE58</f>
        <v>/</v>
      </c>
    </row>
    <row r="58" spans="16:20" x14ac:dyDescent="0.3">
      <c r="P58" s="6" t="str">
        <f>Данные!F59 &amp;"/"&amp; Данные!G59</f>
        <v>/</v>
      </c>
      <c r="Q58" s="7" t="str">
        <f>Данные!L59 &amp;"/"&amp; Данные!M59</f>
        <v>/</v>
      </c>
      <c r="R58" s="7" t="str">
        <f>Данные!R59 &amp;"/"&amp; Данные!S59</f>
        <v>/</v>
      </c>
      <c r="S58" s="7" t="str">
        <f>Данные!X59 &amp;"/"&amp; Данные!Y59</f>
        <v>/</v>
      </c>
      <c r="T58" s="7" t="str">
        <f>Данные!AD59 &amp;"/"&amp; Данные!AE59</f>
        <v>/</v>
      </c>
    </row>
    <row r="59" spans="16:20" x14ac:dyDescent="0.3">
      <c r="P59" s="6" t="str">
        <f>Данные!F60 &amp;"/"&amp; Данные!G60</f>
        <v>/</v>
      </c>
      <c r="Q59" s="7" t="str">
        <f>Данные!L60 &amp;"/"&amp; Данные!M60</f>
        <v>/</v>
      </c>
      <c r="R59" s="7" t="str">
        <f>Данные!R60 &amp;"/"&amp; Данные!S60</f>
        <v>/</v>
      </c>
      <c r="S59" s="7" t="str">
        <f>Данные!X60 &amp;"/"&amp; Данные!Y60</f>
        <v>/</v>
      </c>
      <c r="T59" s="7" t="str">
        <f>Данные!AD60 &amp;"/"&amp; Данные!AE60</f>
        <v>/</v>
      </c>
    </row>
    <row r="60" spans="16:20" x14ac:dyDescent="0.3">
      <c r="P60" s="6" t="str">
        <f>Данные!F61 &amp;"/"&amp; Данные!G61</f>
        <v>/</v>
      </c>
      <c r="Q60" s="7" t="str">
        <f>Данные!L61 &amp;"/"&amp; Данные!M61</f>
        <v>/</v>
      </c>
      <c r="R60" s="7" t="str">
        <f>Данные!R61 &amp;"/"&amp; Данные!S61</f>
        <v>/</v>
      </c>
      <c r="S60" s="7" t="str">
        <f>Данные!X61 &amp;"/"&amp; Данные!Y61</f>
        <v>/</v>
      </c>
      <c r="T60" s="7" t="str">
        <f>Данные!AD61 &amp;"/"&amp; Данные!AE61</f>
        <v>/</v>
      </c>
    </row>
    <row r="61" spans="16:20" x14ac:dyDescent="0.3">
      <c r="P61" s="6" t="str">
        <f>Данные!F62 &amp;"/"&amp; Данные!G62</f>
        <v>/</v>
      </c>
      <c r="Q61" s="7" t="str">
        <f>Данные!L62 &amp;"/"&amp; Данные!M62</f>
        <v>/</v>
      </c>
      <c r="R61" s="7" t="str">
        <f>Данные!R62 &amp;"/"&amp; Данные!S62</f>
        <v>/</v>
      </c>
      <c r="S61" s="7" t="str">
        <f>Данные!X62 &amp;"/"&amp; Данные!Y62</f>
        <v>/</v>
      </c>
      <c r="T61" s="7" t="str">
        <f>Данные!AD62 &amp;"/"&amp; Данные!AE62</f>
        <v>/</v>
      </c>
    </row>
    <row r="62" spans="16:20" x14ac:dyDescent="0.3">
      <c r="P62" s="6" t="str">
        <f>Данные!F63 &amp;"/"&amp; Данные!G63</f>
        <v>/</v>
      </c>
      <c r="Q62" s="7" t="str">
        <f>Данные!L63 &amp;"/"&amp; Данные!M63</f>
        <v>/</v>
      </c>
      <c r="R62" s="7" t="str">
        <f>Данные!R63 &amp;"/"&amp; Данные!S63</f>
        <v>/</v>
      </c>
      <c r="S62" s="7" t="str">
        <f>Данные!X63 &amp;"/"&amp; Данные!Y63</f>
        <v>/</v>
      </c>
      <c r="T62" s="7" t="str">
        <f>Данные!AD63 &amp;"/"&amp; Данные!AE63</f>
        <v>/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Обработка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Ивлев</cp:lastModifiedBy>
  <dcterms:created xsi:type="dcterms:W3CDTF">2026-03-29T12:28:10Z</dcterms:created>
  <dcterms:modified xsi:type="dcterms:W3CDTF">2026-03-29T16:06:25Z</dcterms:modified>
</cp:coreProperties>
</file>